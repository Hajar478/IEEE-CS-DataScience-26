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hidePivotFieldList="1" defaultThemeVersion="166925"/>
  <xr:revisionPtr revIDLastSave="0" documentId="8_{0FFDF49E-EB50-477C-85EC-9F0EE52DCEC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ورقة1" sheetId="1" r:id="rId1"/>
  </sheets>
  <definedNames>
    <definedName name="مقسم_طريقة_العرض_Category">#N/A</definedName>
    <definedName name="مقسم_طريقة_العرض_Date">#N/A</definedName>
  </definedNames>
  <calcPr calcId="191028"/>
  <pivotCaches>
    <pivotCache cacheId="869" r:id="rId2"/>
  </pivotCaches>
  <extLst>
    <ext xmlns:x14="http://schemas.microsoft.com/office/spreadsheetml/2009/9/main" uri="{BBE1A952-AA13-448e-AADC-164F8A28A991}">
      <x14:slicerCaches>
        <x14:slicerCache r:id="rId3"/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I4" i="1"/>
  <c r="J4" i="1"/>
  <c r="K4" i="1"/>
  <c r="J7" i="1" l="1"/>
</calcChain>
</file>

<file path=xl/sharedStrings.xml><?xml version="1.0" encoding="utf-8"?>
<sst xmlns="http://schemas.openxmlformats.org/spreadsheetml/2006/main" count="74" uniqueCount="23">
  <si>
    <t>Date</t>
  </si>
  <si>
    <t>Drink</t>
  </si>
  <si>
    <t>Quantity</t>
  </si>
  <si>
    <t>Price</t>
  </si>
  <si>
    <t>Category</t>
  </si>
  <si>
    <t>Revenue</t>
  </si>
  <si>
    <t>Calculations</t>
  </si>
  <si>
    <t>مجموع من Quantity</t>
  </si>
  <si>
    <t>مجموع من Revenue</t>
  </si>
  <si>
    <t>Latte</t>
  </si>
  <si>
    <t>Hot Coffee</t>
  </si>
  <si>
    <t>Count Sales Entries</t>
  </si>
  <si>
    <t>AVG Price</t>
  </si>
  <si>
    <t>Sum of QTY</t>
  </si>
  <si>
    <t>Cappuccino</t>
  </si>
  <si>
    <t>Espresso</t>
  </si>
  <si>
    <t>Iced Coffee</t>
  </si>
  <si>
    <t>Cold Coffee</t>
  </si>
  <si>
    <t>Total Rev</t>
  </si>
  <si>
    <t>Mocha</t>
  </si>
  <si>
    <t>Special Drinks</t>
  </si>
  <si>
    <t>Milk Shake</t>
  </si>
  <si>
    <t>الإجمالي الكلي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</si>
</sst>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_([$$-409]* #,##0.0_);_([$$-409]* \(#,##0.0\);_([$$-409]* &quot;-&quot;??_);_(@_)"/>
  </numFmts>
  <fonts count="3">
    <font>
      <sz val="11"/>
      <color theme="1"/>
      <name val="Arial"/>
      <family val="2"/>
      <scheme val="minor"/>
    </font>
    <font>
      <sz val="11"/>
      <color rgb="FF9C5700"/>
      <name val="Calibri"/>
      <scheme val="minor"/>
    </font>
    <font>
      <b/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3" borderId="1" xfId="0" applyFill="1" applyBorder="1"/>
    <xf numFmtId="0" fontId="0" fillId="0" borderId="1" xfId="0" applyBorder="1"/>
    <xf numFmtId="0" fontId="0" fillId="3" borderId="1" xfId="0" applyFill="1" applyBorder="1" applyAlignment="1">
      <alignment horizontal="center"/>
    </xf>
    <xf numFmtId="165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/>
    <xf numFmtId="0" fontId="0" fillId="0" borderId="0" xfId="0" pivotButton="1"/>
    <xf numFmtId="0" fontId="2" fillId="3" borderId="1" xfId="1" applyFont="1" applyFill="1" applyBorder="1" applyAlignment="1">
      <alignment horizontal="center"/>
    </xf>
    <xf numFmtId="0" fontId="0" fillId="0" borderId="0" xfId="0" applyNumberFormat="1"/>
  </cellXfs>
  <cellStyles count="2">
    <cellStyle name="عادي" xfId="0" builtinId="0"/>
    <cellStyle name="محايد" xfId="1" builtinId="28"/>
  </cellStyles>
  <dxfs count="3">
    <dxf>
      <numFmt numFmtId="165" formatCode="_([$$-409]* #,##0.0_);_([$$-409]* \(#,##0.0\);_([$$-409]* &quot;-&quot;??_);_(@_)"/>
    </dxf>
    <dxf>
      <numFmt numFmtId="165" formatCode="_([$$-409]* #,##0.0_);_([$$-409]* \(#,##0.0\);_([$$-409]* &quot;-&quot;??_);_(@_)"/>
    </dxf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microsoft.com/office/2007/relationships/slicerCache" Target="slicerCaches/slicerCache1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14-4EF7-BBCC-98DF4414AAEA}"/>
              </c:ext>
            </c:extLst>
          </c:dPt>
          <c:val>
            <c:numRef>
              <c:f>ورقة1!$H$20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356-4E8A-B97A-8C1E16D2F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[CoffeeShop_Sales.xlsx]ورقة1!PivotTable3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Drinks by QTY vs Rev</a:t>
            </a:r>
          </a:p>
        </c:rich>
      </c:tx>
      <c:overlay val="0"/>
      <c:spPr>
        <a:solidFill>
          <a:srgbClr val="5B9BD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ورقة1!$N$2</c:f>
              <c:strCache>
                <c:ptCount val="1"/>
                <c:pt idx="0">
                  <c:v>مجموع من Quantity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ورقة1!$M$3:$M$9</c:f>
              <c:strCache>
                <c:ptCount val="6"/>
                <c:pt idx="0">
                  <c:v>Cappuccino</c:v>
                </c:pt>
                <c:pt idx="1">
                  <c:v>Espresso</c:v>
                </c:pt>
                <c:pt idx="2">
                  <c:v>Iced Coffee</c:v>
                </c:pt>
                <c:pt idx="3">
                  <c:v>Latte</c:v>
                </c:pt>
                <c:pt idx="4">
                  <c:v>Milk Shake</c:v>
                </c:pt>
                <c:pt idx="5">
                  <c:v>Mocha</c:v>
                </c:pt>
              </c:strCache>
            </c:strRef>
          </c:cat>
          <c:val>
            <c:numRef>
              <c:f>ورقة1!$N$3:$N$9</c:f>
              <c:numCache>
                <c:formatCode>General</c:formatCode>
                <c:ptCount val="6"/>
                <c:pt idx="0">
                  <c:v>18</c:v>
                </c:pt>
                <c:pt idx="1">
                  <c:v>15</c:v>
                </c:pt>
                <c:pt idx="2">
                  <c:v>24</c:v>
                </c:pt>
                <c:pt idx="3">
                  <c:v>21</c:v>
                </c:pt>
                <c:pt idx="4">
                  <c:v>15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2-4C26-922A-723A4DE3C910}"/>
            </c:ext>
          </c:extLst>
        </c:ser>
        <c:ser>
          <c:idx val="1"/>
          <c:order val="1"/>
          <c:tx>
            <c:strRef>
              <c:f>ورقة1!$O$2</c:f>
              <c:strCache>
                <c:ptCount val="1"/>
                <c:pt idx="0">
                  <c:v>مجموع من Revenue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ورقة1!$M$3:$M$9</c:f>
              <c:strCache>
                <c:ptCount val="6"/>
                <c:pt idx="0">
                  <c:v>Cappuccino</c:v>
                </c:pt>
                <c:pt idx="1">
                  <c:v>Espresso</c:v>
                </c:pt>
                <c:pt idx="2">
                  <c:v>Iced Coffee</c:v>
                </c:pt>
                <c:pt idx="3">
                  <c:v>Latte</c:v>
                </c:pt>
                <c:pt idx="4">
                  <c:v>Milk Shake</c:v>
                </c:pt>
                <c:pt idx="5">
                  <c:v>Mocha</c:v>
                </c:pt>
              </c:strCache>
            </c:strRef>
          </c:cat>
          <c:val>
            <c:numRef>
              <c:f>ورقة1!$O$3:$O$9</c:f>
              <c:numCache>
                <c:formatCode>_([$$-409]* #,##0.0_);_([$$-409]* \(#,##0.0\);_([$$-409]* "-"??_);_(@_)</c:formatCode>
                <c:ptCount val="6"/>
                <c:pt idx="0">
                  <c:v>1530</c:v>
                </c:pt>
                <c:pt idx="1">
                  <c:v>1050</c:v>
                </c:pt>
                <c:pt idx="2">
                  <c:v>2160</c:v>
                </c:pt>
                <c:pt idx="3">
                  <c:v>1680</c:v>
                </c:pt>
                <c:pt idx="4">
                  <c:v>1380</c:v>
                </c:pt>
                <c:pt idx="5">
                  <c:v>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C2-4C26-922A-723A4DE3C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3171975"/>
        <c:axId val="713174535"/>
      </c:barChart>
      <c:catAx>
        <c:axId val="7131719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3174535"/>
        <c:crosses val="autoZero"/>
        <c:auto val="1"/>
        <c:lblAlgn val="ctr"/>
        <c:lblOffset val="100"/>
        <c:noMultiLvlLbl val="0"/>
      </c:catAx>
      <c:valAx>
        <c:axId val="71317453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131719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38</xdr:row>
      <xdr:rowOff>152400</xdr:rowOff>
    </xdr:from>
    <xdr:to>
      <xdr:col>8</xdr:col>
      <xdr:colOff>1371600</xdr:colOff>
      <xdr:row>49</xdr:row>
      <xdr:rowOff>38100</xdr:rowOff>
    </xdr:to>
    <xdr:graphicFrame macro="">
      <xdr:nvGraphicFramePr>
        <xdr:cNvPr id="7" name="مخطط 6">
          <a:extLst>
            <a:ext uri="{FF2B5EF4-FFF2-40B4-BE49-F238E27FC236}">
              <a16:creationId xmlns:a16="http://schemas.microsoft.com/office/drawing/2014/main" id="{590A1BEA-5F66-5775-5CCC-1CB8B79066C5}"/>
            </a:ext>
            <a:ext uri="{147F2762-F138-4A5C-976F-8EAC2B608ADB}">
              <a16:predDERef xmlns:a16="http://schemas.microsoft.com/office/drawing/2014/main" pred="{FA283D37-E36A-923C-1AB8-40114DEB5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457200</xdr:colOff>
      <xdr:row>10</xdr:row>
      <xdr:rowOff>0</xdr:rowOff>
    </xdr:from>
    <xdr:to>
      <xdr:col>15</xdr:col>
      <xdr:colOff>9525</xdr:colOff>
      <xdr:row>22</xdr:row>
      <xdr:rowOff>19050</xdr:rowOff>
    </xdr:to>
    <xdr:graphicFrame macro="">
      <xdr:nvGraphicFramePr>
        <xdr:cNvPr id="8" name="مخطط 7">
          <a:extLst>
            <a:ext uri="{FF2B5EF4-FFF2-40B4-BE49-F238E27FC236}">
              <a16:creationId xmlns:a16="http://schemas.microsoft.com/office/drawing/2014/main" id="{8FD63E4D-4493-F7C2-BA05-803A039D1245}"/>
            </a:ext>
            <a:ext uri="{147F2762-F138-4A5C-976F-8EAC2B608ADB}">
              <a16:predDERef xmlns:a16="http://schemas.microsoft.com/office/drawing/2014/main" pred="{590A1BEA-5F66-5775-5CCC-1CB8B7906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885825</xdr:colOff>
      <xdr:row>10</xdr:row>
      <xdr:rowOff>0</xdr:rowOff>
    </xdr:from>
    <xdr:to>
      <xdr:col>11</xdr:col>
      <xdr:colOff>209550</xdr:colOff>
      <xdr:row>21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Date">
              <a:extLst>
                <a:ext uri="{FF2B5EF4-FFF2-40B4-BE49-F238E27FC236}">
                  <a16:creationId xmlns:a16="http://schemas.microsoft.com/office/drawing/2014/main" id="{95157C0C-2430-7D52-E1C1-3CA7886F5662}"/>
                </a:ext>
                <a:ext uri="{147F2762-F138-4A5C-976F-8EAC2B608ADB}">
                  <a16:predDERef xmlns:a16="http://schemas.microsoft.com/office/drawing/2014/main" pred="{8FD63E4D-4493-F7C2-BA05-803A039D12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0689375" y="1828800"/>
              <a:ext cx="1323975" cy="2162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514350</xdr:colOff>
      <xdr:row>9</xdr:row>
      <xdr:rowOff>161925</xdr:rowOff>
    </xdr:from>
    <xdr:to>
      <xdr:col>9</xdr:col>
      <xdr:colOff>695325</xdr:colOff>
      <xdr:row>18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ategory">
              <a:extLst>
                <a:ext uri="{FF2B5EF4-FFF2-40B4-BE49-F238E27FC236}">
                  <a16:creationId xmlns:a16="http://schemas.microsoft.com/office/drawing/2014/main" id="{05BE3E3D-D3CF-A089-11B0-7FB1CA1CBDB6}"/>
                </a:ext>
                <a:ext uri="{147F2762-F138-4A5C-976F-8EAC2B608ADB}">
                  <a16:predDERef xmlns:a16="http://schemas.microsoft.com/office/drawing/2014/main" pred="{95157C0C-2430-7D52-E1C1-3CA7886F56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2203850" y="1809750"/>
              <a:ext cx="1590675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5.20485115741" createdVersion="8" refreshedVersion="8" minRefreshableVersion="3" recordCount="25" xr:uid="{22B9B5E1-5671-4F71-91F9-1D4D576A7D0C}">
  <cacheSource type="worksheet">
    <worksheetSource name="daily_"/>
  </cacheSource>
  <cacheFields count="6">
    <cacheField name="Date" numFmtId="14">
      <sharedItems containsSemiMixedTypes="0" containsNonDate="0" containsDate="1" containsString="0" minDate="2026-01-03T00:00:00" maxDate="2026-10-04T00:00:00" count="10">
        <d v="2026-01-03T00:00:00"/>
        <d v="2026-02-03T00:00:00"/>
        <d v="2026-03-03T00:00:00"/>
        <d v="2026-04-03T00:00:00"/>
        <d v="2026-05-03T00:00:00"/>
        <d v="2026-06-03T00:00:00"/>
        <d v="2026-07-03T00:00:00"/>
        <d v="2026-08-03T00:00:00"/>
        <d v="2026-09-03T00:00:00"/>
        <d v="2026-10-03T00:00:00"/>
      </sharedItems>
    </cacheField>
    <cacheField name="Drink" numFmtId="0">
      <sharedItems count="6">
        <s v="Latte"/>
        <s v="Cappuccino"/>
        <s v="Espresso"/>
        <s v="Iced Coffee"/>
        <s v="Mocha"/>
        <s v="Milk Shake"/>
      </sharedItems>
    </cacheField>
    <cacheField name="Quantity" numFmtId="0">
      <sharedItems containsSemiMixedTypes="0" containsString="0" containsNumber="1" containsInteger="1" minValue="3" maxValue="6"/>
    </cacheField>
    <cacheField name="Price" numFmtId="165">
      <sharedItems containsSemiMixedTypes="0" containsString="0" containsNumber="1" containsInteger="1" minValue="70" maxValue="95"/>
    </cacheField>
    <cacheField name="Category" numFmtId="0">
      <sharedItems count="3">
        <s v="Hot Coffee"/>
        <s v="Cold Coffee"/>
        <s v="Special Drinks"/>
      </sharedItems>
    </cacheField>
    <cacheField name="Revenue" numFmtId="165">
      <sharedItems containsSemiMixedTypes="0" containsString="0" containsNumber="1" containsInteger="1" minValue="210" maxValue="552"/>
    </cacheField>
  </cacheFields>
  <extLst>
    <ext xmlns:x14="http://schemas.microsoft.com/office/spreadsheetml/2009/9/main" uri="{725AE2AE-9491-48be-B2B4-4EB974FC3084}">
      <x14:pivotCacheDefinition pivotCacheId="13143498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4"/>
    <n v="80"/>
    <x v="0"/>
    <n v="320"/>
  </r>
  <r>
    <x v="0"/>
    <x v="1"/>
    <n v="3"/>
    <n v="85"/>
    <x v="0"/>
    <n v="255"/>
  </r>
  <r>
    <x v="0"/>
    <x v="2"/>
    <n v="5"/>
    <n v="70"/>
    <x v="0"/>
    <n v="350"/>
  </r>
  <r>
    <x v="1"/>
    <x v="3"/>
    <n v="4"/>
    <n v="90"/>
    <x v="1"/>
    <n v="360"/>
  </r>
  <r>
    <x v="1"/>
    <x v="4"/>
    <n v="3"/>
    <n v="95"/>
    <x v="2"/>
    <n v="285"/>
  </r>
  <r>
    <x v="1"/>
    <x v="0"/>
    <n v="5"/>
    <n v="80"/>
    <x v="0"/>
    <n v="400"/>
  </r>
  <r>
    <x v="2"/>
    <x v="1"/>
    <n v="4"/>
    <n v="85"/>
    <x v="0"/>
    <n v="340"/>
  </r>
  <r>
    <x v="2"/>
    <x v="3"/>
    <n v="6"/>
    <n v="90"/>
    <x v="1"/>
    <n v="540"/>
  </r>
  <r>
    <x v="2"/>
    <x v="4"/>
    <n v="4"/>
    <n v="95"/>
    <x v="2"/>
    <n v="380"/>
  </r>
  <r>
    <x v="3"/>
    <x v="2"/>
    <n v="3"/>
    <n v="70"/>
    <x v="0"/>
    <n v="210"/>
  </r>
  <r>
    <x v="3"/>
    <x v="0"/>
    <n v="5"/>
    <n v="80"/>
    <x v="0"/>
    <n v="400"/>
  </r>
  <r>
    <x v="3"/>
    <x v="3"/>
    <n v="4"/>
    <n v="90"/>
    <x v="1"/>
    <n v="360"/>
  </r>
  <r>
    <x v="4"/>
    <x v="1"/>
    <n v="5"/>
    <n v="85"/>
    <x v="0"/>
    <n v="425"/>
  </r>
  <r>
    <x v="4"/>
    <x v="4"/>
    <n v="3"/>
    <n v="95"/>
    <x v="2"/>
    <n v="285"/>
  </r>
  <r>
    <x v="4"/>
    <x v="2"/>
    <n v="4"/>
    <n v="70"/>
    <x v="0"/>
    <n v="280"/>
  </r>
  <r>
    <x v="5"/>
    <x v="3"/>
    <n v="5"/>
    <n v="90"/>
    <x v="1"/>
    <n v="450"/>
  </r>
  <r>
    <x v="5"/>
    <x v="0"/>
    <n v="3"/>
    <n v="80"/>
    <x v="0"/>
    <n v="240"/>
  </r>
  <r>
    <x v="5"/>
    <x v="1"/>
    <n v="6"/>
    <n v="85"/>
    <x v="0"/>
    <n v="510"/>
  </r>
  <r>
    <x v="6"/>
    <x v="4"/>
    <n v="4"/>
    <n v="95"/>
    <x v="2"/>
    <n v="380"/>
  </r>
  <r>
    <x v="6"/>
    <x v="2"/>
    <n v="3"/>
    <n v="70"/>
    <x v="0"/>
    <n v="210"/>
  </r>
  <r>
    <x v="7"/>
    <x v="5"/>
    <n v="5"/>
    <n v="92"/>
    <x v="2"/>
    <n v="460"/>
  </r>
  <r>
    <x v="7"/>
    <x v="0"/>
    <n v="4"/>
    <n v="80"/>
    <x v="0"/>
    <n v="320"/>
  </r>
  <r>
    <x v="8"/>
    <x v="5"/>
    <n v="6"/>
    <n v="92"/>
    <x v="2"/>
    <n v="552"/>
  </r>
  <r>
    <x v="8"/>
    <x v="3"/>
    <n v="5"/>
    <n v="90"/>
    <x v="1"/>
    <n v="450"/>
  </r>
  <r>
    <x v="9"/>
    <x v="5"/>
    <n v="4"/>
    <n v="92"/>
    <x v="2"/>
    <n v="3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23C65D-5B19-49DA-9B03-89B534F0A833}" name="PivotTable3" cacheId="869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compact="0" compactData="0" multipleFieldFilters="0" chartFormat="1">
  <location ref="M2:O9" firstHeaderRow="0" firstDataRow="1" firstDataCol="1"/>
  <pivotFields count="6">
    <pivotField compact="0" numFmtId="14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outline="0" showAll="0">
      <items count="7">
        <item x="1"/>
        <item x="2"/>
        <item x="3"/>
        <item x="0"/>
        <item x="5"/>
        <item x="4"/>
        <item t="default"/>
      </items>
    </pivotField>
    <pivotField dataField="1" compact="0" outline="0" showAll="0"/>
    <pivotField compact="0" numFmtId="165" outline="0" showAll="0"/>
    <pivotField compact="0" outline="0" showAll="0">
      <items count="4">
        <item x="1"/>
        <item x="0"/>
        <item x="2"/>
        <item t="default"/>
      </items>
    </pivotField>
    <pivotField dataField="1" compact="0" numFmtId="165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مجموع من Quantity" fld="2" baseField="0" baseItem="0"/>
    <dataField name="مجموع من Revenue" fld="5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مقسم_طريقة_العرض_Date" xr10:uid="{AE663CCE-97A5-4611-A574-C8E72B119C07}" sourceName="Date">
  <pivotTables>
    <pivotTable tabId="1" name="PivotTable3"/>
  </pivotTables>
  <data>
    <tabular pivotCacheId="1314349847">
      <items count="10">
        <i x="0" s="1"/>
        <i x="1" s="1"/>
        <i x="2" s="1"/>
        <i x="3" s="1"/>
        <i x="4" s="1"/>
        <i x="5" s="1"/>
        <i x="6" s="1"/>
        <i x="7" s="1"/>
        <i x="8" s="1"/>
        <i x="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مقسم_طريقة_العرض_Category" xr10:uid="{12DEA074-A10D-4037-9911-BF27C2F63303}" sourceName="Category">
  <pivotTables>
    <pivotTable tabId="1" name="PivotTable3"/>
  </pivotTables>
  <data>
    <tabular pivotCacheId="1314349847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" xr10:uid="{FD56E0C4-20D8-423B-A8B3-F85B99E34841}" cache="مقسم_طريقة_العرض_Date" caption="Date" startItem="4" rowHeight="228600"/>
  <slicer name="Category" xr10:uid="{626B09F7-39FF-4B14-8E43-EB7279FE43A1}" cache="مقسم_طريقة_العرض_Category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12F0D8-B24E-46B9-84FC-99683037386E}" name="daily_" displayName="daily_" ref="A2:F27" totalsRowShown="0">
  <autoFilter ref="A2:F27" xr:uid="{3512F0D8-B24E-46B9-84FC-99683037386E}">
    <filterColumn colId="1">
      <filters>
        <filter val="Mocha"/>
      </filters>
    </filterColumn>
  </autoFilter>
  <tableColumns count="6">
    <tableColumn id="1" xr3:uid="{A4829B40-2139-4049-8684-10D4D35E2D4E}" name="Date" dataDxfId="2"/>
    <tableColumn id="2" xr3:uid="{3C3190C8-D4F1-4551-8B83-9AA1E3F1A76D}" name="Drink"/>
    <tableColumn id="3" xr3:uid="{DE587ED1-7E12-4588-B6F3-FB00FB71D235}" name="Quantity"/>
    <tableColumn id="4" xr3:uid="{34FC024B-6BCB-4841-A2AF-434190755A09}" name="Price" dataDxfId="1"/>
    <tableColumn id="5" xr3:uid="{AA608404-6BB1-4512-AA78-24C2AA21B486}" name="Category"/>
    <tableColumn id="6" xr3:uid="{9F7CAE22-33DB-4583-8D26-7F8FA6DDF2BA}" name="Revenue" dataDxfId="0">
      <calculatedColumnFormula>C3*D3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7"/>
  <sheetViews>
    <sheetView rightToLeft="1" tabSelected="1" topLeftCell="E8" workbookViewId="0">
      <selection activeCell="L3" sqref="L3"/>
    </sheetView>
  </sheetViews>
  <sheetFormatPr defaultRowHeight="14.25"/>
  <cols>
    <col min="1" max="1" width="11.875" customWidth="1"/>
    <col min="2" max="2" width="15.375" customWidth="1"/>
    <col min="3" max="3" width="10.625" bestFit="1" customWidth="1"/>
    <col min="4" max="4" width="13.5" style="5" customWidth="1"/>
    <col min="5" max="5" width="13.125" bestFit="1" customWidth="1"/>
    <col min="6" max="6" width="12.375" style="5" customWidth="1"/>
    <col min="9" max="9" width="18.5" customWidth="1"/>
    <col min="10" max="11" width="13.125" customWidth="1"/>
    <col min="12" max="12" width="16" bestFit="1" customWidth="1"/>
    <col min="13" max="13" width="10.875" bestFit="1" customWidth="1"/>
    <col min="14" max="14" width="16" customWidth="1"/>
    <col min="15" max="15" width="16.125" customWidth="1"/>
    <col min="16" max="16" width="16.125" bestFit="1" customWidth="1"/>
  </cols>
  <sheetData>
    <row r="2" spans="1:15" ht="15.75">
      <c r="A2" t="s">
        <v>0</v>
      </c>
      <c r="B2" t="s">
        <v>1</v>
      </c>
      <c r="C2" t="s">
        <v>2</v>
      </c>
      <c r="D2" s="5" t="s">
        <v>3</v>
      </c>
      <c r="E2" t="s">
        <v>4</v>
      </c>
      <c r="F2" s="5" t="s">
        <v>5</v>
      </c>
      <c r="I2" s="9" t="s">
        <v>6</v>
      </c>
      <c r="J2" s="9"/>
      <c r="K2" s="9"/>
      <c r="M2" s="8" t="s">
        <v>1</v>
      </c>
      <c r="N2" t="s">
        <v>7</v>
      </c>
      <c r="O2" t="s">
        <v>8</v>
      </c>
    </row>
    <row r="3" spans="1:15">
      <c r="A3" s="1">
        <v>46025</v>
      </c>
      <c r="B3" t="s">
        <v>9</v>
      </c>
      <c r="C3">
        <v>4</v>
      </c>
      <c r="D3" s="5">
        <v>80</v>
      </c>
      <c r="E3" t="s">
        <v>10</v>
      </c>
      <c r="F3" s="5">
        <f t="shared" ref="F3:F27" si="0">C3*D3</f>
        <v>320</v>
      </c>
      <c r="I3" s="2" t="s">
        <v>11</v>
      </c>
      <c r="J3" s="2" t="s">
        <v>12</v>
      </c>
      <c r="K3" s="2" t="s">
        <v>13</v>
      </c>
      <c r="M3" t="s">
        <v>14</v>
      </c>
      <c r="N3" s="10">
        <v>18</v>
      </c>
      <c r="O3" s="5">
        <v>1530</v>
      </c>
    </row>
    <row r="4" spans="1:15">
      <c r="A4" s="1">
        <v>46025</v>
      </c>
      <c r="B4" t="s">
        <v>14</v>
      </c>
      <c r="C4">
        <v>3</v>
      </c>
      <c r="D4" s="5">
        <v>85</v>
      </c>
      <c r="E4" t="s">
        <v>10</v>
      </c>
      <c r="F4" s="5">
        <f t="shared" si="0"/>
        <v>255</v>
      </c>
      <c r="I4" s="3">
        <f>COUNTA(A:A)</f>
        <v>26</v>
      </c>
      <c r="J4" s="6">
        <f>AVERAGE(D:D)</f>
        <v>85.04</v>
      </c>
      <c r="K4" s="3">
        <f>SUM(C:C)</f>
        <v>107</v>
      </c>
      <c r="M4" t="s">
        <v>15</v>
      </c>
      <c r="N4" s="10">
        <v>15</v>
      </c>
      <c r="O4" s="5">
        <v>1050</v>
      </c>
    </row>
    <row r="5" spans="1:15">
      <c r="A5" s="1">
        <v>46025</v>
      </c>
      <c r="B5" t="s">
        <v>15</v>
      </c>
      <c r="C5">
        <v>5</v>
      </c>
      <c r="D5" s="5">
        <v>70</v>
      </c>
      <c r="E5" t="s">
        <v>10</v>
      </c>
      <c r="F5" s="5">
        <f t="shared" si="0"/>
        <v>350</v>
      </c>
      <c r="M5" t="s">
        <v>16</v>
      </c>
      <c r="N5" s="10">
        <v>24</v>
      </c>
      <c r="O5" s="5">
        <v>2160</v>
      </c>
    </row>
    <row r="6" spans="1:15">
      <c r="A6" s="1">
        <v>46056</v>
      </c>
      <c r="B6" t="s">
        <v>16</v>
      </c>
      <c r="C6">
        <v>4</v>
      </c>
      <c r="D6" s="5">
        <v>90</v>
      </c>
      <c r="E6" t="s">
        <v>17</v>
      </c>
      <c r="F6" s="5">
        <f t="shared" si="0"/>
        <v>360</v>
      </c>
      <c r="J6" s="4" t="s">
        <v>18</v>
      </c>
      <c r="K6" t="s">
        <v>17</v>
      </c>
      <c r="M6" t="s">
        <v>9</v>
      </c>
      <c r="N6" s="10">
        <v>21</v>
      </c>
      <c r="O6" s="5">
        <v>1680</v>
      </c>
    </row>
    <row r="7" spans="1:15">
      <c r="A7" s="1">
        <v>46056</v>
      </c>
      <c r="B7" t="s">
        <v>19</v>
      </c>
      <c r="C7">
        <v>3</v>
      </c>
      <c r="D7" s="5">
        <v>95</v>
      </c>
      <c r="E7" t="s">
        <v>20</v>
      </c>
      <c r="F7" s="5">
        <f t="shared" si="0"/>
        <v>285</v>
      </c>
      <c r="J7" s="7">
        <f>SUM(F:F)</f>
        <v>9130</v>
      </c>
      <c r="K7" t="s">
        <v>10</v>
      </c>
      <c r="M7" t="s">
        <v>21</v>
      </c>
      <c r="N7" s="10">
        <v>15</v>
      </c>
      <c r="O7" s="5">
        <v>1380</v>
      </c>
    </row>
    <row r="8" spans="1:15">
      <c r="A8" s="1">
        <v>46056</v>
      </c>
      <c r="B8" t="s">
        <v>9</v>
      </c>
      <c r="C8">
        <v>5</v>
      </c>
      <c r="D8" s="5">
        <v>80</v>
      </c>
      <c r="E8" t="s">
        <v>10</v>
      </c>
      <c r="F8" s="5">
        <f t="shared" si="0"/>
        <v>400</v>
      </c>
      <c r="K8" t="s">
        <v>20</v>
      </c>
      <c r="M8" t="s">
        <v>19</v>
      </c>
      <c r="N8" s="10">
        <v>14</v>
      </c>
      <c r="O8" s="5">
        <v>1330</v>
      </c>
    </row>
    <row r="9" spans="1:15">
      <c r="A9" s="1">
        <v>46084</v>
      </c>
      <c r="B9" t="s">
        <v>14</v>
      </c>
      <c r="C9">
        <v>4</v>
      </c>
      <c r="D9" s="5">
        <v>85</v>
      </c>
      <c r="E9" t="s">
        <v>10</v>
      </c>
      <c r="F9" s="5">
        <f t="shared" si="0"/>
        <v>340</v>
      </c>
      <c r="M9" t="s">
        <v>22</v>
      </c>
      <c r="N9" s="10">
        <v>107</v>
      </c>
      <c r="O9" s="5">
        <v>9130</v>
      </c>
    </row>
    <row r="10" spans="1:15">
      <c r="A10" s="1">
        <v>46084</v>
      </c>
      <c r="B10" t="s">
        <v>16</v>
      </c>
      <c r="C10">
        <v>6</v>
      </c>
      <c r="D10" s="5">
        <v>90</v>
      </c>
      <c r="E10" t="s">
        <v>17</v>
      </c>
      <c r="F10" s="5">
        <f t="shared" si="0"/>
        <v>540</v>
      </c>
    </row>
    <row r="11" spans="1:15">
      <c r="A11" s="1">
        <v>46084</v>
      </c>
      <c r="B11" t="s">
        <v>19</v>
      </c>
      <c r="C11">
        <v>4</v>
      </c>
      <c r="D11" s="5">
        <v>95</v>
      </c>
      <c r="E11" t="s">
        <v>20</v>
      </c>
      <c r="F11" s="5">
        <f t="shared" si="0"/>
        <v>380</v>
      </c>
    </row>
    <row r="12" spans="1:15">
      <c r="A12" s="1">
        <v>46115</v>
      </c>
      <c r="B12" t="s">
        <v>15</v>
      </c>
      <c r="C12">
        <v>3</v>
      </c>
      <c r="D12" s="5">
        <v>70</v>
      </c>
      <c r="E12" t="s">
        <v>10</v>
      </c>
      <c r="F12" s="5">
        <f t="shared" si="0"/>
        <v>210</v>
      </c>
    </row>
    <row r="13" spans="1:15">
      <c r="A13" s="1">
        <v>46115</v>
      </c>
      <c r="B13" t="s">
        <v>9</v>
      </c>
      <c r="C13">
        <v>5</v>
      </c>
      <c r="D13" s="5">
        <v>80</v>
      </c>
      <c r="E13" t="s">
        <v>10</v>
      </c>
      <c r="F13" s="5">
        <f t="shared" si="0"/>
        <v>400</v>
      </c>
    </row>
    <row r="14" spans="1:15">
      <c r="A14" s="1">
        <v>46115</v>
      </c>
      <c r="B14" t="s">
        <v>16</v>
      </c>
      <c r="C14">
        <v>4</v>
      </c>
      <c r="D14" s="5">
        <v>90</v>
      </c>
      <c r="E14" t="s">
        <v>17</v>
      </c>
      <c r="F14" s="5">
        <f t="shared" si="0"/>
        <v>360</v>
      </c>
    </row>
    <row r="15" spans="1:15">
      <c r="A15" s="1">
        <v>46145</v>
      </c>
      <c r="B15" t="s">
        <v>14</v>
      </c>
      <c r="C15">
        <v>5</v>
      </c>
      <c r="D15" s="5">
        <v>85</v>
      </c>
      <c r="E15" t="s">
        <v>10</v>
      </c>
      <c r="F15" s="5">
        <f t="shared" si="0"/>
        <v>425</v>
      </c>
    </row>
    <row r="16" spans="1:15">
      <c r="A16" s="1">
        <v>46145</v>
      </c>
      <c r="B16" t="s">
        <v>19</v>
      </c>
      <c r="C16">
        <v>3</v>
      </c>
      <c r="D16" s="5">
        <v>95</v>
      </c>
      <c r="E16" t="s">
        <v>20</v>
      </c>
      <c r="F16" s="5">
        <f t="shared" si="0"/>
        <v>285</v>
      </c>
    </row>
    <row r="17" spans="1:6">
      <c r="A17" s="1">
        <v>46145</v>
      </c>
      <c r="B17" t="s">
        <v>15</v>
      </c>
      <c r="C17">
        <v>4</v>
      </c>
      <c r="D17" s="5">
        <v>70</v>
      </c>
      <c r="E17" t="s">
        <v>10</v>
      </c>
      <c r="F17" s="5">
        <f t="shared" si="0"/>
        <v>280</v>
      </c>
    </row>
    <row r="18" spans="1:6">
      <c r="A18" s="1">
        <v>46176</v>
      </c>
      <c r="B18" t="s">
        <v>16</v>
      </c>
      <c r="C18">
        <v>5</v>
      </c>
      <c r="D18" s="5">
        <v>90</v>
      </c>
      <c r="E18" t="s">
        <v>17</v>
      </c>
      <c r="F18" s="5">
        <f t="shared" si="0"/>
        <v>450</v>
      </c>
    </row>
    <row r="19" spans="1:6">
      <c r="A19" s="1">
        <v>46176</v>
      </c>
      <c r="B19" t="s">
        <v>9</v>
      </c>
      <c r="C19">
        <v>3</v>
      </c>
      <c r="D19" s="5">
        <v>80</v>
      </c>
      <c r="E19" t="s">
        <v>10</v>
      </c>
      <c r="F19" s="5">
        <f t="shared" si="0"/>
        <v>240</v>
      </c>
    </row>
    <row r="20" spans="1:6">
      <c r="A20" s="1">
        <v>46176</v>
      </c>
      <c r="B20" t="s">
        <v>14</v>
      </c>
      <c r="C20">
        <v>6</v>
      </c>
      <c r="D20" s="5">
        <v>85</v>
      </c>
      <c r="E20" t="s">
        <v>10</v>
      </c>
      <c r="F20" s="5">
        <f t="shared" si="0"/>
        <v>510</v>
      </c>
    </row>
    <row r="21" spans="1:6">
      <c r="A21" s="1">
        <v>46206</v>
      </c>
      <c r="B21" t="s">
        <v>19</v>
      </c>
      <c r="C21">
        <v>4</v>
      </c>
      <c r="D21" s="5">
        <v>95</v>
      </c>
      <c r="E21" t="s">
        <v>20</v>
      </c>
      <c r="F21" s="5">
        <f t="shared" si="0"/>
        <v>380</v>
      </c>
    </row>
    <row r="22" spans="1:6">
      <c r="A22" s="1">
        <v>46206</v>
      </c>
      <c r="B22" t="s">
        <v>15</v>
      </c>
      <c r="C22">
        <v>3</v>
      </c>
      <c r="D22" s="5">
        <v>70</v>
      </c>
      <c r="E22" t="s">
        <v>10</v>
      </c>
      <c r="F22" s="5">
        <f t="shared" si="0"/>
        <v>210</v>
      </c>
    </row>
    <row r="23" spans="1:6">
      <c r="A23" s="1">
        <v>46237</v>
      </c>
      <c r="B23" t="s">
        <v>21</v>
      </c>
      <c r="C23">
        <v>5</v>
      </c>
      <c r="D23" s="5">
        <v>92</v>
      </c>
      <c r="E23" t="s">
        <v>20</v>
      </c>
      <c r="F23" s="5">
        <f t="shared" si="0"/>
        <v>460</v>
      </c>
    </row>
    <row r="24" spans="1:6">
      <c r="A24" s="1">
        <v>46237</v>
      </c>
      <c r="B24" t="s">
        <v>9</v>
      </c>
      <c r="C24">
        <v>4</v>
      </c>
      <c r="D24" s="5">
        <v>80</v>
      </c>
      <c r="E24" t="s">
        <v>10</v>
      </c>
      <c r="F24" s="5">
        <f t="shared" si="0"/>
        <v>320</v>
      </c>
    </row>
    <row r="25" spans="1:6">
      <c r="A25" s="1">
        <v>46268</v>
      </c>
      <c r="B25" t="s">
        <v>21</v>
      </c>
      <c r="C25">
        <v>6</v>
      </c>
      <c r="D25" s="5">
        <v>92</v>
      </c>
      <c r="E25" t="s">
        <v>20</v>
      </c>
      <c r="F25" s="5">
        <f t="shared" si="0"/>
        <v>552</v>
      </c>
    </row>
    <row r="26" spans="1:6">
      <c r="A26" s="1">
        <v>46268</v>
      </c>
      <c r="B26" t="s">
        <v>16</v>
      </c>
      <c r="C26">
        <v>5</v>
      </c>
      <c r="D26" s="5">
        <v>90</v>
      </c>
      <c r="E26" t="s">
        <v>17</v>
      </c>
      <c r="F26" s="5">
        <f t="shared" si="0"/>
        <v>450</v>
      </c>
    </row>
    <row r="27" spans="1:6">
      <c r="A27" s="1">
        <v>46298</v>
      </c>
      <c r="B27" t="s">
        <v>21</v>
      </c>
      <c r="C27">
        <v>4</v>
      </c>
      <c r="D27" s="5">
        <v>92</v>
      </c>
      <c r="E27" t="s">
        <v>20</v>
      </c>
      <c r="F27" s="5">
        <f t="shared" si="0"/>
        <v>368</v>
      </c>
    </row>
  </sheetData>
  <sortState xmlns:xlrd2="http://schemas.microsoft.com/office/spreadsheetml/2017/richdata2" ref="K6:K8">
    <sortCondition ref="K6:K8"/>
  </sortState>
  <mergeCells count="1">
    <mergeCell ref="I2:K2"/>
  </mergeCells>
  <dataValidations count="2">
    <dataValidation type="list" allowBlank="1" showInputMessage="1" showErrorMessage="1" sqref="E3:E1048576" xr:uid="{F371FBD3-0772-48DC-AD63-B98061AEB8EC}">
      <formula1>$K$6:$K$8</formula1>
    </dataValidation>
    <dataValidation allowBlank="1" showInputMessage="1" showErrorMessage="1" sqref="E2:F2 E1" xr:uid="{95BE834C-4B6E-4288-9D0C-9D16075D7B68}"/>
  </dataValidations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2026-03-13T20:04:00Z</dcterms:created>
  <dcterms:modified xsi:type="dcterms:W3CDTF">2026-03-14T03:46:10Z</dcterms:modified>
  <cp:category/>
  <cp:contentStatus/>
</cp:coreProperties>
</file>